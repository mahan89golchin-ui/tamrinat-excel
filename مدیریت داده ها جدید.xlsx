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Documents/"/>
    </mc:Choice>
  </mc:AlternateContent>
  <xr:revisionPtr revIDLastSave="101" documentId="8_{6D09CF73-547C-49E2-9A61-76221B1103E8}" xr6:coauthVersionLast="47" xr6:coauthVersionMax="47" xr10:uidLastSave="{1BB14B5B-43CC-44E8-9C3E-55736367BBC6}"/>
  <bookViews>
    <workbookView xWindow="-108" yWindow="-108" windowWidth="23256" windowHeight="12456" xr2:uid="{BD3E2DC4-26FC-4F20-A4A2-AEAE3F18E6BC}"/>
  </bookViews>
  <sheets>
    <sheet name="فهرست داده ها" sheetId="1" r:id="rId1"/>
    <sheet name="حق الزحمه" sheetId="3" r:id="rId2"/>
    <sheet name="فاکتور فروش" sheetId="4" r:id="rId3"/>
    <sheet name="قیمت تمام شده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4" l="1"/>
  <c r="I14" i="4"/>
  <c r="I13" i="4"/>
  <c r="I5" i="4"/>
  <c r="I4" i="4"/>
  <c r="I3" i="4"/>
  <c r="D5" i="3"/>
  <c r="D6" i="3"/>
  <c r="D7" i="3"/>
  <c r="D4" i="3"/>
  <c r="E10" i="1"/>
  <c r="G3" i="2"/>
  <c r="G4" i="2"/>
  <c r="G6" i="2"/>
  <c r="G8" i="2"/>
  <c r="G9" i="2"/>
  <c r="F2" i="2"/>
  <c r="G2" i="2" s="1"/>
  <c r="F3" i="2"/>
  <c r="F4" i="2"/>
  <c r="F5" i="2"/>
  <c r="G5" i="2" s="1"/>
  <c r="F6" i="2"/>
  <c r="F7" i="2"/>
  <c r="G7" i="2" s="1"/>
  <c r="F8" i="2"/>
  <c r="F9" i="2"/>
</calcChain>
</file>

<file path=xl/sharedStrings.xml><?xml version="1.0" encoding="utf-8"?>
<sst xmlns="http://schemas.openxmlformats.org/spreadsheetml/2006/main" count="88" uniqueCount="57">
  <si>
    <t>ردیف</t>
  </si>
  <si>
    <t>نام محصول هنر‌آموز</t>
  </si>
  <si>
    <t>قیمت پیش‌بینی شده</t>
  </si>
  <si>
    <t>شلف دیواری مدل L</t>
  </si>
  <si>
    <t>طبقه دیواری مجموعه سه عددی مدل Z20</t>
  </si>
  <si>
    <t xml:space="preserve">روپوش کارگاهی زنانه مدل گیتی </t>
  </si>
  <si>
    <t>روپوش کارگاهی زنانه مدل زرین</t>
  </si>
  <si>
    <t>روپوش کارگاهی مردانه مدل ۰۰۱</t>
  </si>
  <si>
    <t>روپوش کارگاهی مردانه مدل ۰۰۲</t>
  </si>
  <si>
    <t>ست روپوش و شلوار زنانه مدل پاس</t>
  </si>
  <si>
    <t>001</t>
  </si>
  <si>
    <t>002</t>
  </si>
  <si>
    <t>003</t>
  </si>
  <si>
    <t>004</t>
  </si>
  <si>
    <t>005</t>
  </si>
  <si>
    <t>006</t>
  </si>
  <si>
    <t>007</t>
  </si>
  <si>
    <t>008</t>
  </si>
  <si>
    <t>هنر‌آموز ناظر</t>
  </si>
  <si>
    <t>صابری</t>
  </si>
  <si>
    <t>هاشمی</t>
  </si>
  <si>
    <t>هاشم پور</t>
  </si>
  <si>
    <t>رشته ارائه دهنده محصول</t>
  </si>
  <si>
    <t>معماری داخلی</t>
  </si>
  <si>
    <t>طراحی دوخت</t>
  </si>
  <si>
    <t/>
  </si>
  <si>
    <t>رشته تولید کننده</t>
  </si>
  <si>
    <t>کد محصول</t>
  </si>
  <si>
    <t>هزینه اولیه مواد</t>
  </si>
  <si>
    <t>هزینه دستمزد</t>
  </si>
  <si>
    <t>هزینه های سربار</t>
  </si>
  <si>
    <t>قیمت تمام شده</t>
  </si>
  <si>
    <t xml:space="preserve">قیمت نهایی </t>
  </si>
  <si>
    <t>میزان مالیات</t>
  </si>
  <si>
    <t>لیست حق الزحمه</t>
  </si>
  <si>
    <t>نام‌ و نام‌‌خانوادگی</t>
  </si>
  <si>
    <t>ساعت کارکرد</t>
  </si>
  <si>
    <t>حق الزحمه ساعتی</t>
  </si>
  <si>
    <t>حق الزحمه پرداختی</t>
  </si>
  <si>
    <t xml:space="preserve">پرنیا اکبری </t>
  </si>
  <si>
    <t>رومینا صالحی</t>
  </si>
  <si>
    <t>مینا آریان پور</t>
  </si>
  <si>
    <t>تهمینه دماوندی</t>
  </si>
  <si>
    <t>فاکتور فروش</t>
  </si>
  <si>
    <t xml:space="preserve">نام مشتری </t>
  </si>
  <si>
    <t>شماره فاکتور</t>
  </si>
  <si>
    <t>تاریخ</t>
  </si>
  <si>
    <t>نام کالا</t>
  </si>
  <si>
    <t>تعداد</t>
  </si>
  <si>
    <t>قیمت واحد</t>
  </si>
  <si>
    <t>قیمت کل</t>
  </si>
  <si>
    <t>شلف دیواری مدل WT</t>
  </si>
  <si>
    <t xml:space="preserve">ماگ فانتزی </t>
  </si>
  <si>
    <t>گل سر زرین چفتی</t>
  </si>
  <si>
    <t>جمع کل</t>
  </si>
  <si>
    <t>درصد تخفیف</t>
  </si>
  <si>
    <t>مبلغ قابل پرداخت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</si>
</sst>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3000401]0"/>
    <numFmt numFmtId="165" formatCode="_(* #,##0_);_(* \(#,##0\);_(* &quot;-&quot;??_);_(@_)"/>
    <numFmt numFmtId="166" formatCode="#,##0_-[$ريال-429]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0" fillId="0" borderId="0" xfId="0" quotePrefix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165" fontId="0" fillId="0" borderId="0" xfId="0" applyNumberFormat="1"/>
    <xf numFmtId="166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0" fontId="2" fillId="0" borderId="0" xfId="0" applyFont="1"/>
    <xf numFmtId="0" fontId="0" fillId="0" borderId="1" xfId="0" quotePrefix="1" applyBorder="1"/>
    <xf numFmtId="0" fontId="0" fillId="0" borderId="2" xfId="0" quotePrefix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[$ريال-429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[$ريال-429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[$ريال-429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[$ريال-429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#,##0.00_-[$ريال-429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A3066E-9E63-406F-9AF2-B08BA0CF891A}" name="Table1" displayName="Table1" ref="A1:G9" totalsRowShown="0" headerRowDxfId="10" headerRowBorderDxfId="9" tableBorderDxfId="8" totalsRowBorderDxfId="7">
  <autoFilter ref="A1:G9" xr:uid="{53A3066E-9E63-406F-9AF2-B08BA0CF891A}"/>
  <tableColumns count="7">
    <tableColumn id="1" xr3:uid="{C83FB3B7-89CF-4CCC-A934-5C34EFC25666}" name="رشته تولید کننده" dataDxfId="6"/>
    <tableColumn id="2" xr3:uid="{5E0E39DC-257D-447F-99A9-241893877E44}" name="کد محصول" dataDxfId="5"/>
    <tableColumn id="3" xr3:uid="{9295DF93-C840-4479-8D53-B83D67A8492C}" name="هزینه اولیه مواد" dataDxfId="4"/>
    <tableColumn id="4" xr3:uid="{80923985-9921-4DB1-9FD5-C13F1C1CA607}" name="هزینه دستمزد" dataDxfId="3"/>
    <tableColumn id="5" xr3:uid="{D225EC0C-4C3B-4981-B84D-5E04D7C02911}" name="هزینه های سربار" dataDxfId="2"/>
    <tableColumn id="6" xr3:uid="{BCF34B2A-BDFD-40A5-BDF0-C4B38AB2B61E}" name="قیمت تمام شده" dataDxfId="1">
      <calculatedColumnFormula>SUM(Table1[[#This Row],[هزینه اولیه مواد]:[هزینه های سربار]])</calculatedColumnFormula>
    </tableColumn>
    <tableColumn id="7" xr3:uid="{8ABB0444-C055-40CD-8235-99082DDE0B7B}" name="قیمت نهایی " dataDxfId="0">
      <calculatedColumnFormula>Table1[[#This Row],[قیمت تمام شده]]+Table1[[#This Row],[قیمت تمام شده]]*0.1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1F9E-D59A-49D1-8A52-6AA6B46FF3FF}">
  <dimension ref="A1:G10"/>
  <sheetViews>
    <sheetView rightToLeft="1" tabSelected="1" workbookViewId="0">
      <selection activeCell="B3" sqref="B3"/>
    </sheetView>
  </sheetViews>
  <sheetFormatPr defaultRowHeight="14.4" x14ac:dyDescent="0.3"/>
  <cols>
    <col min="2" max="2" width="28.109375" customWidth="1"/>
    <col min="3" max="3" width="12.77734375" bestFit="1" customWidth="1"/>
    <col min="4" max="4" width="12" customWidth="1"/>
    <col min="5" max="5" width="14.21875" customWidth="1"/>
    <col min="6" max="6" width="18" bestFit="1" customWidth="1"/>
  </cols>
  <sheetData>
    <row r="1" spans="1:7" x14ac:dyDescent="0.3">
      <c r="A1" t="s">
        <v>0</v>
      </c>
      <c r="B1" t="s">
        <v>1</v>
      </c>
      <c r="C1" t="s">
        <v>27</v>
      </c>
      <c r="D1" t="s">
        <v>18</v>
      </c>
      <c r="E1" t="s">
        <v>2</v>
      </c>
      <c r="F1" t="s">
        <v>22</v>
      </c>
    </row>
    <row r="2" spans="1:7" x14ac:dyDescent="0.3">
      <c r="A2" s="1">
        <v>1</v>
      </c>
      <c r="B2" t="s">
        <v>3</v>
      </c>
      <c r="C2" s="2" t="s">
        <v>10</v>
      </c>
      <c r="D2" t="s">
        <v>19</v>
      </c>
      <c r="E2" s="3">
        <v>130000</v>
      </c>
      <c r="F2" t="s">
        <v>23</v>
      </c>
    </row>
    <row r="3" spans="1:7" x14ac:dyDescent="0.3">
      <c r="A3" s="1">
        <v>2</v>
      </c>
      <c r="B3" t="s">
        <v>51</v>
      </c>
      <c r="C3" s="2" t="s">
        <v>11</v>
      </c>
      <c r="D3" t="s">
        <v>19</v>
      </c>
      <c r="E3" s="3">
        <v>150000</v>
      </c>
      <c r="F3" t="s">
        <v>23</v>
      </c>
    </row>
    <row r="4" spans="1:7" x14ac:dyDescent="0.3">
      <c r="A4" s="1">
        <v>3</v>
      </c>
      <c r="B4" t="s">
        <v>4</v>
      </c>
      <c r="C4" s="2" t="s">
        <v>12</v>
      </c>
      <c r="D4" t="s">
        <v>19</v>
      </c>
      <c r="E4" s="3">
        <v>170000</v>
      </c>
      <c r="F4" t="s">
        <v>23</v>
      </c>
      <c r="G4" s="2" t="s">
        <v>25</v>
      </c>
    </row>
    <row r="5" spans="1:7" x14ac:dyDescent="0.3">
      <c r="A5" s="1">
        <v>4</v>
      </c>
      <c r="B5" t="s">
        <v>5</v>
      </c>
      <c r="C5" s="2" t="s">
        <v>13</v>
      </c>
      <c r="D5" t="s">
        <v>20</v>
      </c>
      <c r="E5" s="3">
        <v>350000</v>
      </c>
      <c r="F5" t="s">
        <v>24</v>
      </c>
    </row>
    <row r="6" spans="1:7" x14ac:dyDescent="0.3">
      <c r="A6" s="1">
        <v>5</v>
      </c>
      <c r="B6" t="s">
        <v>6</v>
      </c>
      <c r="C6" s="2" t="s">
        <v>14</v>
      </c>
      <c r="D6" t="s">
        <v>20</v>
      </c>
      <c r="E6" s="3">
        <v>290000</v>
      </c>
      <c r="F6" t="s">
        <v>24</v>
      </c>
    </row>
    <row r="7" spans="1:7" x14ac:dyDescent="0.3">
      <c r="A7" s="1">
        <v>6</v>
      </c>
      <c r="B7" t="s">
        <v>7</v>
      </c>
      <c r="C7" s="2" t="s">
        <v>15</v>
      </c>
      <c r="D7" t="s">
        <v>20</v>
      </c>
      <c r="E7" s="3">
        <v>360000</v>
      </c>
      <c r="F7" t="s">
        <v>24</v>
      </c>
    </row>
    <row r="8" spans="1:7" x14ac:dyDescent="0.3">
      <c r="A8" s="1">
        <v>7</v>
      </c>
      <c r="B8" t="s">
        <v>8</v>
      </c>
      <c r="C8" s="2" t="s">
        <v>16</v>
      </c>
      <c r="D8" t="s">
        <v>20</v>
      </c>
      <c r="E8" s="3">
        <v>280000</v>
      </c>
      <c r="F8" t="s">
        <v>24</v>
      </c>
    </row>
    <row r="9" spans="1:7" x14ac:dyDescent="0.3">
      <c r="A9" s="1">
        <v>8</v>
      </c>
      <c r="B9" t="s">
        <v>9</v>
      </c>
      <c r="C9" s="2" t="s">
        <v>17</v>
      </c>
      <c r="D9" t="s">
        <v>21</v>
      </c>
      <c r="E9" s="3">
        <v>385000</v>
      </c>
      <c r="F9" t="s">
        <v>24</v>
      </c>
    </row>
    <row r="10" spans="1:7" x14ac:dyDescent="0.3">
      <c r="E10" s="10">
        <f>'قیمت تمام شده'!C2+'قیمت تمام شده'!E2</f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B76A-45FF-4202-985F-A16CA15AD651}">
  <dimension ref="A1:G7"/>
  <sheetViews>
    <sheetView rightToLeft="1" workbookViewId="0">
      <selection activeCell="D7" sqref="D7"/>
    </sheetView>
  </sheetViews>
  <sheetFormatPr defaultRowHeight="14.4" x14ac:dyDescent="0.3"/>
  <cols>
    <col min="1" max="1" width="12.109375" customWidth="1"/>
    <col min="2" max="2" width="10.6640625" customWidth="1"/>
    <col min="3" max="3" width="19.77734375" customWidth="1"/>
    <col min="4" max="4" width="19.21875" customWidth="1"/>
  </cols>
  <sheetData>
    <row r="1" spans="1:7" x14ac:dyDescent="0.3">
      <c r="A1" s="21" t="s">
        <v>33</v>
      </c>
      <c r="B1" s="22">
        <v>0.1</v>
      </c>
      <c r="C1" s="4"/>
      <c r="D1" s="4"/>
      <c r="E1" s="4"/>
      <c r="F1" s="4"/>
    </row>
    <row r="2" spans="1:7" x14ac:dyDescent="0.3">
      <c r="A2" s="23" t="s">
        <v>34</v>
      </c>
      <c r="B2" s="23"/>
      <c r="C2" s="23"/>
      <c r="D2" s="23"/>
      <c r="G2" s="4"/>
    </row>
    <row r="3" spans="1:7" x14ac:dyDescent="0.3">
      <c r="A3" s="20" t="s">
        <v>35</v>
      </c>
      <c r="B3" s="20" t="s">
        <v>36</v>
      </c>
      <c r="C3" s="20" t="s">
        <v>37</v>
      </c>
      <c r="D3" s="20" t="s">
        <v>38</v>
      </c>
    </row>
    <row r="4" spans="1:7" x14ac:dyDescent="0.3">
      <c r="A4" s="19" t="s">
        <v>39</v>
      </c>
      <c r="B4" s="19">
        <v>12</v>
      </c>
      <c r="C4" s="11">
        <v>10000000</v>
      </c>
      <c r="D4" s="11">
        <f>(B4*C4)-(C4*B4)*$B$1</f>
        <v>108000000</v>
      </c>
    </row>
    <row r="5" spans="1:7" x14ac:dyDescent="0.3">
      <c r="A5" s="19" t="s">
        <v>40</v>
      </c>
      <c r="B5" s="19">
        <v>23</v>
      </c>
      <c r="C5" s="11">
        <v>16000000</v>
      </c>
      <c r="D5" s="11">
        <f t="shared" ref="D5:D7" si="0">(B5*C5)-(C5*B5)*$B$1</f>
        <v>331200000</v>
      </c>
    </row>
    <row r="6" spans="1:7" x14ac:dyDescent="0.3">
      <c r="A6" s="19" t="s">
        <v>41</v>
      </c>
      <c r="B6" s="19">
        <v>45</v>
      </c>
      <c r="C6" s="11">
        <v>12000000</v>
      </c>
      <c r="D6" s="11">
        <f t="shared" si="0"/>
        <v>486000000</v>
      </c>
    </row>
    <row r="7" spans="1:7" x14ac:dyDescent="0.3">
      <c r="A7" s="19" t="s">
        <v>42</v>
      </c>
      <c r="B7" s="19">
        <v>16</v>
      </c>
      <c r="C7" s="11">
        <v>17000000000</v>
      </c>
      <c r="D7" s="11">
        <f t="shared" si="0"/>
        <v>244800000000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52EC-D1F1-4763-BF66-F992CC4DB394}">
  <dimension ref="A1:I15"/>
  <sheetViews>
    <sheetView rightToLeft="1" workbookViewId="0">
      <selection activeCell="T5" sqref="T5"/>
    </sheetView>
  </sheetViews>
  <sheetFormatPr defaultRowHeight="14.4" x14ac:dyDescent="0.3"/>
  <cols>
    <col min="1" max="1" width="10.109375" customWidth="1"/>
    <col min="2" max="3" width="8.88671875" customWidth="1"/>
    <col min="5" max="5" width="5.21875" customWidth="1"/>
    <col min="6" max="6" width="15.21875" customWidth="1"/>
  </cols>
  <sheetData>
    <row r="1" spans="1:9" x14ac:dyDescent="0.3">
      <c r="A1" s="24" t="s">
        <v>43</v>
      </c>
      <c r="B1" s="24"/>
      <c r="C1" s="24"/>
      <c r="D1" s="4"/>
      <c r="E1" s="24" t="s">
        <v>43</v>
      </c>
      <c r="F1" s="24"/>
      <c r="G1" s="24"/>
      <c r="H1" s="24"/>
      <c r="I1" s="24"/>
    </row>
    <row r="2" spans="1:9" x14ac:dyDescent="0.3">
      <c r="A2" s="21" t="s">
        <v>44</v>
      </c>
      <c r="B2" s="29"/>
      <c r="C2" s="29"/>
      <c r="D2" s="4"/>
      <c r="E2" s="21" t="s">
        <v>0</v>
      </c>
      <c r="F2" s="21" t="s">
        <v>47</v>
      </c>
      <c r="G2" s="21" t="s">
        <v>48</v>
      </c>
      <c r="H2" s="21" t="s">
        <v>49</v>
      </c>
      <c r="I2" s="21" t="s">
        <v>50</v>
      </c>
    </row>
    <row r="3" spans="1:9" ht="16.8" x14ac:dyDescent="0.5">
      <c r="A3" s="21" t="s">
        <v>45</v>
      </c>
      <c r="B3" s="29"/>
      <c r="C3" s="29"/>
      <c r="D3" s="4"/>
      <c r="E3" s="25">
        <v>1</v>
      </c>
      <c r="F3" s="19" t="s">
        <v>51</v>
      </c>
      <c r="G3" s="25">
        <v>2</v>
      </c>
      <c r="H3" s="26">
        <v>110000</v>
      </c>
      <c r="I3" s="27">
        <f>G3*H3</f>
        <v>220000</v>
      </c>
    </row>
    <row r="4" spans="1:9" ht="16.8" x14ac:dyDescent="0.5">
      <c r="A4" s="21" t="s">
        <v>46</v>
      </c>
      <c r="B4" s="29"/>
      <c r="C4" s="29"/>
      <c r="D4" s="4"/>
      <c r="E4" s="25">
        <v>2</v>
      </c>
      <c r="F4" s="19" t="s">
        <v>52</v>
      </c>
      <c r="G4" s="25">
        <v>1</v>
      </c>
      <c r="H4" s="26">
        <v>200000</v>
      </c>
      <c r="I4" s="27">
        <f>G4*H4</f>
        <v>200000</v>
      </c>
    </row>
    <row r="5" spans="1:9" ht="16.8" x14ac:dyDescent="0.5">
      <c r="A5" s="4"/>
      <c r="B5" s="4"/>
      <c r="C5" s="4"/>
      <c r="D5" s="4"/>
      <c r="E5" s="25">
        <v>3</v>
      </c>
      <c r="F5" s="19" t="s">
        <v>53</v>
      </c>
      <c r="G5" s="25">
        <v>1</v>
      </c>
      <c r="H5" s="26">
        <v>70000</v>
      </c>
      <c r="I5" s="27">
        <f>G5*H5</f>
        <v>70000</v>
      </c>
    </row>
    <row r="6" spans="1:9" ht="16.8" x14ac:dyDescent="0.5">
      <c r="A6" s="4"/>
      <c r="B6" s="4"/>
      <c r="C6" s="4"/>
      <c r="D6" s="4"/>
      <c r="E6" s="19"/>
      <c r="F6" s="19"/>
      <c r="G6" s="19"/>
      <c r="H6" s="19"/>
      <c r="I6" s="27"/>
    </row>
    <row r="7" spans="1:9" ht="16.8" x14ac:dyDescent="0.5">
      <c r="A7" s="4"/>
      <c r="B7" s="4"/>
      <c r="C7" s="4"/>
      <c r="D7" s="4"/>
      <c r="E7" s="19"/>
      <c r="F7" s="19"/>
      <c r="G7" s="19"/>
      <c r="H7" s="19"/>
      <c r="I7" s="27"/>
    </row>
    <row r="8" spans="1:9" ht="16.8" x14ac:dyDescent="0.5">
      <c r="A8" s="4"/>
      <c r="B8" s="4"/>
      <c r="C8" s="4"/>
      <c r="D8" s="4"/>
      <c r="E8" s="19"/>
      <c r="F8" s="19"/>
      <c r="G8" s="19"/>
      <c r="H8" s="19"/>
      <c r="I8" s="27"/>
    </row>
    <row r="9" spans="1:9" ht="16.8" x14ac:dyDescent="0.5">
      <c r="A9" s="4"/>
      <c r="B9" s="4"/>
      <c r="C9" s="4"/>
      <c r="D9" s="4"/>
      <c r="E9" s="19"/>
      <c r="F9" s="19"/>
      <c r="G9" s="19"/>
      <c r="H9" s="19"/>
      <c r="I9" s="27"/>
    </row>
    <row r="10" spans="1:9" ht="16.8" x14ac:dyDescent="0.5">
      <c r="A10" s="4"/>
      <c r="B10" s="4"/>
      <c r="C10" s="4"/>
      <c r="D10" s="4"/>
      <c r="E10" s="19"/>
      <c r="F10" s="19"/>
      <c r="G10" s="19"/>
      <c r="H10" s="19"/>
      <c r="I10" s="27"/>
    </row>
    <row r="11" spans="1:9" ht="16.8" x14ac:dyDescent="0.5">
      <c r="A11" s="4"/>
      <c r="B11" s="4"/>
      <c r="C11" s="4"/>
      <c r="D11" s="4"/>
      <c r="E11" s="19"/>
      <c r="F11" s="19"/>
      <c r="G11" s="19"/>
      <c r="H11" s="19"/>
      <c r="I11" s="27"/>
    </row>
    <row r="12" spans="1:9" ht="16.8" x14ac:dyDescent="0.5">
      <c r="A12" s="4"/>
      <c r="B12" s="4"/>
      <c r="C12" s="4"/>
      <c r="D12" s="4"/>
      <c r="E12" s="19"/>
      <c r="F12" s="19"/>
      <c r="G12" s="19"/>
      <c r="H12" s="19"/>
      <c r="I12" s="27"/>
    </row>
    <row r="13" spans="1:9" ht="16.8" x14ac:dyDescent="0.5">
      <c r="A13" s="4"/>
      <c r="B13" s="4"/>
      <c r="C13" s="4"/>
      <c r="D13" s="4"/>
      <c r="E13" s="28" t="s">
        <v>54</v>
      </c>
      <c r="F13" s="28"/>
      <c r="G13" s="28"/>
      <c r="H13" s="28"/>
      <c r="I13" s="27">
        <f>SUM(I3:I5)</f>
        <v>490000</v>
      </c>
    </row>
    <row r="14" spans="1:9" ht="16.8" x14ac:dyDescent="0.5">
      <c r="A14" s="4"/>
      <c r="B14" s="4"/>
      <c r="C14" s="4"/>
      <c r="D14" s="4"/>
      <c r="E14" s="28" t="s">
        <v>55</v>
      </c>
      <c r="F14" s="28"/>
      <c r="G14" s="28"/>
      <c r="H14" s="28"/>
      <c r="I14" s="27">
        <f>IF(I13&gt;20000000,10%,5%)</f>
        <v>0.05</v>
      </c>
    </row>
    <row r="15" spans="1:9" ht="16.8" x14ac:dyDescent="0.5">
      <c r="A15" s="4"/>
      <c r="B15" s="4"/>
      <c r="C15" s="4"/>
      <c r="D15" s="4"/>
      <c r="E15" s="28" t="s">
        <v>56</v>
      </c>
      <c r="F15" s="28"/>
      <c r="G15" s="28"/>
      <c r="H15" s="28"/>
      <c r="I15" s="27">
        <f>I13-I13*I14</f>
        <v>465500</v>
      </c>
    </row>
  </sheetData>
  <mergeCells count="8">
    <mergeCell ref="E1:I1"/>
    <mergeCell ref="E13:H13"/>
    <mergeCell ref="E14:H14"/>
    <mergeCell ref="E15:H15"/>
    <mergeCell ref="A1:C1"/>
    <mergeCell ref="B2:C2"/>
    <mergeCell ref="B3:C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9C7C-C6D6-4323-B6BA-AB14653B3E70}">
  <dimension ref="A1:G10"/>
  <sheetViews>
    <sheetView rightToLeft="1" workbookViewId="0">
      <selection activeCell="N8" sqref="N8"/>
    </sheetView>
  </sheetViews>
  <sheetFormatPr defaultRowHeight="14.4" x14ac:dyDescent="0.3"/>
  <cols>
    <col min="1" max="1" width="17.6640625" customWidth="1"/>
    <col min="2" max="2" width="12.77734375" customWidth="1"/>
    <col min="3" max="3" width="16" customWidth="1"/>
    <col min="4" max="4" width="16.44140625" customWidth="1"/>
    <col min="5" max="5" width="18.44140625" customWidth="1"/>
    <col min="6" max="6" width="14.88671875" customWidth="1"/>
    <col min="7" max="7" width="17" customWidth="1"/>
  </cols>
  <sheetData>
    <row r="1" spans="1:7" x14ac:dyDescent="0.3">
      <c r="A1" s="6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7" t="s">
        <v>32</v>
      </c>
    </row>
    <row r="2" spans="1:7" ht="16.8" x14ac:dyDescent="0.5">
      <c r="A2" s="8" t="s">
        <v>23</v>
      </c>
      <c r="B2" s="17" t="s">
        <v>10</v>
      </c>
      <c r="C2" s="12">
        <v>500000</v>
      </c>
      <c r="D2" s="12">
        <v>100000</v>
      </c>
      <c r="E2" s="12">
        <v>100000</v>
      </c>
      <c r="F2" s="12">
        <f>SUM(Table1[[#This Row],[هزینه اولیه مواد]:[هزینه های سربار]])</f>
        <v>700000</v>
      </c>
      <c r="G2" s="13">
        <f>Table1[[#This Row],[قیمت تمام شده]]+Table1[[#This Row],[قیمت تمام شده]]*0.1</f>
        <v>770000</v>
      </c>
    </row>
    <row r="3" spans="1:7" ht="16.8" x14ac:dyDescent="0.5">
      <c r="A3" s="8" t="s">
        <v>23</v>
      </c>
      <c r="B3" s="17" t="s">
        <v>11</v>
      </c>
      <c r="C3" s="12">
        <v>400000</v>
      </c>
      <c r="D3" s="12">
        <v>100000</v>
      </c>
      <c r="E3" s="12">
        <v>200000</v>
      </c>
      <c r="F3" s="12">
        <f>SUM(Table1[[#This Row],[هزینه اولیه مواد]:[هزینه های سربار]])</f>
        <v>700000</v>
      </c>
      <c r="G3" s="13">
        <f>Table1[[#This Row],[قیمت تمام شده]]+Table1[[#This Row],[قیمت تمام شده]]*0.1</f>
        <v>770000</v>
      </c>
    </row>
    <row r="4" spans="1:7" ht="16.8" x14ac:dyDescent="0.5">
      <c r="A4" s="8" t="s">
        <v>23</v>
      </c>
      <c r="B4" s="17" t="s">
        <v>12</v>
      </c>
      <c r="C4" s="12">
        <v>450000</v>
      </c>
      <c r="D4" s="12">
        <v>100000</v>
      </c>
      <c r="E4" s="12">
        <v>300000</v>
      </c>
      <c r="F4" s="12">
        <f>SUM(Table1[[#This Row],[هزینه اولیه مواد]:[هزینه های سربار]])</f>
        <v>850000</v>
      </c>
      <c r="G4" s="13">
        <f>Table1[[#This Row],[قیمت تمام شده]]+Table1[[#This Row],[قیمت تمام شده]]*0.1</f>
        <v>935000</v>
      </c>
    </row>
    <row r="5" spans="1:7" ht="16.8" x14ac:dyDescent="0.5">
      <c r="A5" s="8" t="s">
        <v>24</v>
      </c>
      <c r="B5" s="17" t="s">
        <v>13</v>
      </c>
      <c r="C5" s="12">
        <v>600000</v>
      </c>
      <c r="D5" s="12">
        <v>100000</v>
      </c>
      <c r="E5" s="12">
        <v>400000</v>
      </c>
      <c r="F5" s="12">
        <f>SUM(Table1[[#This Row],[هزینه اولیه مواد]:[هزینه های سربار]])</f>
        <v>1100000</v>
      </c>
      <c r="G5" s="13">
        <f>Table1[[#This Row],[قیمت تمام شده]]+Table1[[#This Row],[قیمت تمام شده]]*0.1</f>
        <v>1210000</v>
      </c>
    </row>
    <row r="6" spans="1:7" ht="16.8" x14ac:dyDescent="0.5">
      <c r="A6" s="8" t="s">
        <v>24</v>
      </c>
      <c r="B6" s="17" t="s">
        <v>14</v>
      </c>
      <c r="C6" s="12">
        <v>600000</v>
      </c>
      <c r="D6" s="12">
        <v>100000</v>
      </c>
      <c r="E6" s="12">
        <v>500000</v>
      </c>
      <c r="F6" s="12">
        <f>SUM(Table1[[#This Row],[هزینه اولیه مواد]:[هزینه های سربار]])</f>
        <v>1200000</v>
      </c>
      <c r="G6" s="13">
        <f>Table1[[#This Row],[قیمت تمام شده]]+Table1[[#This Row],[قیمت تمام شده]]*0.1</f>
        <v>1320000</v>
      </c>
    </row>
    <row r="7" spans="1:7" ht="16.8" x14ac:dyDescent="0.5">
      <c r="A7" s="8" t="s">
        <v>24</v>
      </c>
      <c r="B7" s="17" t="s">
        <v>15</v>
      </c>
      <c r="C7" s="12">
        <v>700000</v>
      </c>
      <c r="D7" s="12">
        <v>100000</v>
      </c>
      <c r="E7" s="12">
        <v>600000</v>
      </c>
      <c r="F7" s="12">
        <f>SUM(Table1[[#This Row],[هزینه اولیه مواد]:[هزینه های سربار]])</f>
        <v>1400000</v>
      </c>
      <c r="G7" s="13">
        <f>Table1[[#This Row],[قیمت تمام شده]]+Table1[[#This Row],[قیمت تمام شده]]*0.1</f>
        <v>1540000</v>
      </c>
    </row>
    <row r="8" spans="1:7" ht="16.8" x14ac:dyDescent="0.5">
      <c r="A8" s="8" t="s">
        <v>24</v>
      </c>
      <c r="B8" s="17" t="s">
        <v>16</v>
      </c>
      <c r="C8" s="12">
        <v>700000</v>
      </c>
      <c r="D8" s="12">
        <v>100000</v>
      </c>
      <c r="E8" s="12">
        <v>700000</v>
      </c>
      <c r="F8" s="12">
        <f>SUM(Table1[[#This Row],[هزینه اولیه مواد]:[هزینه های سربار]])</f>
        <v>1500000</v>
      </c>
      <c r="G8" s="13">
        <f>Table1[[#This Row],[قیمت تمام شده]]+Table1[[#This Row],[قیمت تمام شده]]*0.1</f>
        <v>1650000</v>
      </c>
    </row>
    <row r="9" spans="1:7" ht="16.8" x14ac:dyDescent="0.5">
      <c r="A9" s="9" t="s">
        <v>24</v>
      </c>
      <c r="B9" s="18" t="s">
        <v>17</v>
      </c>
      <c r="C9" s="14">
        <v>550000</v>
      </c>
      <c r="D9" s="14">
        <v>100000</v>
      </c>
      <c r="E9" s="14">
        <v>800000</v>
      </c>
      <c r="F9" s="14">
        <f>SUM(Table1[[#This Row],[هزینه اولیه مواد]:[هزینه های سربار]])</f>
        <v>1450000</v>
      </c>
      <c r="G9" s="15">
        <f>Table1[[#This Row],[قیمت تمام شده]]+Table1[[#This Row],[قیمت تمام شده]]*0.1</f>
        <v>1595000</v>
      </c>
    </row>
    <row r="10" spans="1:7" ht="16.8" x14ac:dyDescent="0.5">
      <c r="C10" s="16"/>
      <c r="D10" s="16"/>
      <c r="E10" s="16"/>
      <c r="F10" s="16"/>
      <c r="G10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فهرست داده ها</vt:lpstr>
      <vt:lpstr>حق الزحمه</vt:lpstr>
      <vt:lpstr>فاکتور فروش</vt:lpstr>
      <vt:lpstr>قیمت تمام شده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2026-10-21T08:42:49Z</dcterms:created>
  <dcterms:modified xsi:type="dcterms:W3CDTF">2026-10-30T11:09:00Z</dcterms:modified>
</cp:coreProperties>
</file>